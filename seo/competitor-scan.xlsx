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" sheetId="1" state="visible" r:id="rId3"/>
    <sheet name="خريطة_النتائج" sheetId="2" state="visible" r:id="rId4"/>
    <sheet name="المنافسون" sheetId="3" state="visible" r:id="rId5"/>
    <sheet name="موقعنا_الحالي" sheetId="4" state="visible" r:id="rId6"/>
    <sheet name="التقييم" sheetId="5" state="visible" r:id="rId7"/>
    <sheet name="الزبون_الخفي" sheetId="6" state="visible" r:id="rId8"/>
    <sheet name="الحدود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<sst xmlns="http://schemas.openxmlformats.org/spreadsheetml/2006/main" count="319" uniqueCount="230">
  <si>
    <t xml:space="preserve">مسح المنافسين الأولي (MKT1) — 2 أكتوبر 2026</t>
  </si>
  <si>
    <t xml:space="preserve">عينة تأسيسية من نتائج أداة بحث لست google.com.kw: الترتيب مؤشر فقط ويُؤكَّد يدوياً من جوال داخل الكويت. لا PageSpeed ولا روابط ولا Wayback ولا زبون خفي في هذا التنفيذ (انظر ورقة «الحدود»).</t>
  </si>
  <si>
    <t xml:space="preserve">#</t>
  </si>
  <si>
    <t xml:space="preserve">الملاحظة</t>
  </si>
  <si>
    <t xml:space="preserve">النوع</t>
  </si>
  <si>
    <t xml:space="preserve">الإجراء المقترح</t>
  </si>
  <si>
    <t xml:space="preserve">مصدر الملاحظة</t>
  </si>
  <si>
    <t xml:space="preserve">1</t>
  </si>
  <si>
    <t xml:space="preserve">النسخة المنشورة على stayerkw.github.io قديمة: ما زالت بمسارات عربية، وتحوي «بالمليمتر» و«خامات تركية أصلية» و«ستائر كهربائية» و«نماذج حقيقية من تنفيذاتنا»، وكل منتجاتها بسعر 6 د.ك للمتر (حتى الخشبي). لا أثر لأي تنظيف أو إثراء أُنجز في الحزمة.</t>
  </si>
  <si>
    <t xml:space="preserve">حرجة</t>
  </si>
  <si>
    <t xml:space="preserve">نشر الحزمة الحالية (دفع المحتوى إلى فرع main) قبل أي قراءة لنتائج الظهور؛ وتنبّه B0: الروابط العربية القديمة مفهرسة ولا تُحوَّل على GitHub Pages.</t>
  </si>
  <si>
    <t xml:space="preserve">فُحصت الصفحة الرئيسية المنشورة بتاريخ 2 أكتوبر 2026</t>
  </si>
  <si>
    <t xml:space="preserve">2</t>
  </si>
  <si>
    <t xml:space="preserve">نتائج «تركيب ستائر الجهراء» يهيمن عليها فنيون فرديون وصفحات إعلانات ودلائل، وأعمار كثير منها بين 374 و1713 يوماً، وبعضها يعرض «تركيب ستائر ايكيا» و«كهربائية» و«رخيص».</t>
  </si>
  <si>
    <t xml:space="preserve">فرصة</t>
  </si>
  <si>
    <t xml:space="preserve">صفحة الجهراء الفريدة بوقائع حقيقية قادرة على التمايز، لكنها noindex حتى N-22. وسؤال «تركيب فقط بلا شراء منا» (N-15) يحدد هل ندخل هذه النية.</t>
  </si>
  <si>
    <t xml:space="preserve">أعمار الصفحات كما أرجعتها أداة البحث (تقريبية)</t>
  </si>
  <si>
    <t xml:space="preserve">3</t>
  </si>
  <si>
    <t xml:space="preserve">كل أسعار المنافسين المعلنة بوحدة «المتر» دون توضيح هل هي طولي أم مربع: ويفي 11–15، فندقي 12–13، رول 6، لينن/خام 13–18، أمريكي خطين 25، مخمل 20–25.</t>
  </si>
  <si>
    <t xml:space="preserve">معلومة</t>
  </si>
  <si>
    <t xml:space="preserve">6 د.ك/م² × ارتفاع 2.6 م ≈ 15.6 د.ك للمتر الطولي، أي داخل نطاق السوق لا أقل منه. فلا تُبنى الرسالة على «الأرخص» (5.2) بل على الوضوح والحاسبة بالوحدتين.</t>
  </si>
  <si>
    <t xml:space="preserve">كل صفوف ورقة «المنافسون»</t>
  </si>
  <si>
    <t xml:space="preserve">4</t>
  </si>
  <si>
    <t xml:space="preserve">منافس واحد على الأقل (kuwaitcurtains.com) يعلن المعاينة المجانية بالمنزل مع عرض الكتالوجات ويستعمل FAQ schema، فالزيارة المجانية ليست ميزة فريدة.</t>
  </si>
  <si>
    <t xml:space="preserve">التمايز الفعلي يأتي من: أعمال موثقة، حاسبة شفافة، قاعدة تركيب معلنة، صفحة سياسات. لا من الزيارة وحدها.</t>
  </si>
  <si>
    <t xml:space="preserve">ورقة «المنافسون»</t>
  </si>
  <si>
    <t xml:space="preserve">5</t>
  </si>
  <si>
    <t xml:space="preserve">أخطاء محتوى واضحة عند المنافسين: بقايا قالب (€70/night) في الصفحة الرئيسية لـ curtainkw.com، وجمل مكررة «بلا منافس»، وأرقام هواتف في عناوين الصفحات.</t>
  </si>
  <si>
    <t xml:space="preserve">نتجنب أرقام الهواتف في العناوين (seo-lint يمنعها) ونكتب محتوى بمعلومات أصلية.</t>
  </si>
  <si>
    <t xml:space="preserve">6</t>
  </si>
  <si>
    <t xml:space="preserve">عبارات الرول الجاهز والبلاك أوت والرول لم تعطِ نتائج مفيدة في هذا التنفيذ (نتائج غير كويتية)؛ ولم تُغطَّ بعد.</t>
  </si>
  <si>
    <t xml:space="preserve">فجوة</t>
  </si>
  <si>
    <t xml:space="preserve">فحص يدوي من جوال في الكويت (تصفح خاص) لعبارات رول/بلاك أوت/رول جاهز/تركيب ستائر/ستائر الكويت وتسجيل أول 10 نتائج.</t>
  </si>
  <si>
    <t xml:space="preserve">ورقة «خريطة_النتائج»</t>
  </si>
  <si>
    <t xml:space="preserve">7</t>
  </si>
  <si>
    <t xml:space="preserve">ظهر موقعنا القديم ضمن نتائج «سعر ستائر الكويت للمتر» و«ستائر ويفي الكويت» في أداة البحث (المرتبة 3 و2 في قوائمها)، ولم يظهر في «تفصيل ستائر الكويت».</t>
  </si>
  <si>
    <t xml:space="preserve">مؤشر</t>
  </si>
  <si>
    <t xml:space="preserve">لا تُبنى عليه استنتاجات قبل التأكيد من Search Console (A4) ومن جوال في الكويت.</t>
  </si>
  <si>
    <t xml:space="preserve">خريطة نتائج البحث (SERP) — ترتيب ظهور النتائج في أداة البحث كما أرجعتها، لا ترتيب جوجل الكويت</t>
  </si>
  <si>
    <t xml:space="preserve">العبارة</t>
  </si>
  <si>
    <t xml:space="preserve">ترتيب ظهور النتيجة</t>
  </si>
  <si>
    <t xml:space="preserve">النطاق</t>
  </si>
  <si>
    <t xml:space="preserve">نوع النتيجة</t>
  </si>
  <si>
    <t xml:space="preserve">ما لوحظ في المقتطف</t>
  </si>
  <si>
    <t xml:space="preserve">عمر الصفحة (يوم، تقريبي من الأداة)</t>
  </si>
  <si>
    <t xml:space="preserve">تفصيل ستائر الكويت</t>
  </si>
  <si>
    <t xml:space="preserve">satayiralkuayt124.com</t>
  </si>
  <si>
    <t xml:space="preserve">موقع بنطاق مطابق</t>
  </si>
  <si>
    <t xml:space="preserve">رقم هاتف في العنوان؛ خلط تنجيد وكنب مع الستائر؛ «بارخص الاسعار»</t>
  </si>
  <si>
    <t xml:space="preserve">kuwaitcurtains.com (تصنيف)</t>
  </si>
  <si>
    <t xml:space="preserve">FAQ schema: معاينة مجانية بالمنزل مع كتالوجات؛ رقم هاتف في عناوين الأقسام</t>
  </si>
  <si>
    <t xml:space="preserve">curtains-k.com</t>
  </si>
  <si>
    <t xml:space="preserve">متجر بأسعار على المنتجات؛ تفصيل ستائر وبرادي؛ هو الحالة المعمقة في 3.3</t>
  </si>
  <si>
    <t xml:space="preserve">kuwaitcurtains.com (أسعار)</t>
  </si>
  <si>
    <t xml:space="preserve">صفحة أسعار بمتوسطات للمتر</t>
  </si>
  <si>
    <t xml:space="preserve">kuwitcurtains.com</t>
  </si>
  <si>
    <t xml:space="preserve">رقم هاتف في العنوان؛ أقسام تصليح وأفضل محلات ومعلم ستائر</t>
  </si>
  <si>
    <t xml:space="preserve">curtainskuwait.com</t>
  </si>
  <si>
    <t xml:space="preserve">خصم معلن 30–35%؛ عنوان في الفروانية (الضجيج) داخل schema</t>
  </si>
  <si>
    <t xml:space="preserve">curtains-kw.com (تصنيف)</t>
  </si>
  <si>
    <t xml:space="preserve">صفحات مناطق (حولي والجهراء) بقالب موحد؛ «ارخص ستائر»</t>
  </si>
  <si>
    <t xml:space="preserve">stayerkw.github.io</t>
  </si>
  <si>
    <t xml:space="preserve">موقعنا</t>
  </si>
  <si>
    <t xml:space="preserve">لم يظهر ضمن النتائج المسترجعة</t>
  </si>
  <si>
    <t xml:space="preserve">-</t>
  </si>
  <si>
    <t xml:space="preserve">سعر ستائر الكويت للمتر</t>
  </si>
  <si>
    <t xml:space="preserve">q84sale.com</t>
  </si>
  <si>
    <t xml:space="preserve">إعلان مبوب</t>
  </si>
  <si>
    <t xml:space="preserve">إعلان فندقي 12 د.ك (العنوان «المتر» والوصف «المتر المربع»: وحدة غير متسقة)</t>
  </si>
  <si>
    <t xml:space="preserve">kw.opensooq.com</t>
  </si>
  <si>
    <t xml:space="preserve">إعلان ويفي 11 د.ك للمتر</t>
  </si>
  <si>
    <t xml:space="preserve">موقعنا (نسخة قديمة)</t>
  </si>
  <si>
    <t xml:space="preserve">ظهر بوصف قديم وأسعار 6 للمنتجات كلها</t>
  </si>
  <si>
    <t xml:space="preserve">أسعار منتجات: لينن خط واحد 15، لينن مع مخمل خطين 25، مخمل أمريكي 20، لينن تركي 18، خام لينن 17</t>
  </si>
  <si>
    <t xml:space="preserve">curtainkw.com</t>
  </si>
  <si>
    <t xml:space="preserve">نطاق عام «من 5 د.ك إلى 100 د.ك أو أكثر» بلا جدول</t>
  </si>
  <si>
    <t xml:space="preserve">ويفي 15، فندقي 13، رول 6، أمريكي خطين 25، لينن من 13</t>
  </si>
  <si>
    <t xml:space="preserve">curtains-k.com (منتج)</t>
  </si>
  <si>
    <t xml:space="preserve">ستارة خشب 15 (بعد تخفيض من 18)</t>
  </si>
  <si>
    <t xml:space="preserve">ستائر ويفي الكويت</t>
  </si>
  <si>
    <t xml:space="preserve">centrepointstores.com</t>
  </si>
  <si>
    <t xml:space="preserve">متجر علامة كبرى</t>
  </si>
  <si>
    <t xml:space="preserve">ستائر جاهزة بأطقم؛ ليس تفصيلاً</t>
  </si>
  <si>
    <t xml:space="preserve">ظهر بوصف قديم يذكر الكهربائية</t>
  </si>
  <si>
    <t xml:space="preserve">kuwaitcurtains.com</t>
  </si>
  <si>
    <t xml:space="preserve">«فندقي فاخر» و«أحدث الماكينات» بلا إثبات</t>
  </si>
  <si>
    <t xml:space="preserve">curtainkw.com (الرئيسية)</t>
  </si>
  <si>
    <t xml:space="preserve">قسم آراء عملاء؛ رابط انستغرام؛ نص قالب خاطئ (€70/night)</t>
  </si>
  <si>
    <t xml:space="preserve">curtainkw.com (صفحة ويفي)</t>
  </si>
  <si>
    <t xml:space="preserve">رقم هاتف في العنوان؛ جمل مكررة «بلا منافس»</t>
  </si>
  <si>
    <t xml:space="preserve">adennews.net</t>
  </si>
  <si>
    <t xml:space="preserve">مقال معرفي</t>
  </si>
  <si>
    <t xml:space="preserve">دليل اختيار رول أم ويفي؛ لم يُتحقق من ارتباطه بأي جهة</t>
  </si>
  <si>
    <t xml:space="preserve">satayr.com</t>
  </si>
  <si>
    <t xml:space="preserve">مقال/صفحة خدمة</t>
  </si>
  <si>
    <t xml:space="preserve">مقال معرفي عن الويفي مع قسم خدمات</t>
  </si>
  <si>
    <t xml:space="preserve">تركيب ستائر الجهراء</t>
  </si>
  <si>
    <t xml:space="preserve">magickw.com</t>
  </si>
  <si>
    <t xml:space="preserve">رقم هاتف في العنوان؛ تركيب وتنجيد</t>
  </si>
  <si>
    <t xml:space="preserve">malekclean.com</t>
  </si>
  <si>
    <t xml:space="preserve">موقع خدمات</t>
  </si>
  <si>
    <t xml:space="preserve">فني فردي؛ تركيب ايكيا وهندي وسيدار</t>
  </si>
  <si>
    <t xml:space="preserve">magickw.com (إعلان ثانٍ)</t>
  </si>
  <si>
    <t xml:space="preserve">فك ونقل وصيانة وتصليح؛ «رخيص جداً»</t>
  </si>
  <si>
    <t xml:space="preserve">dllkw.com</t>
  </si>
  <si>
    <t xml:space="preserve">دليل</t>
  </si>
  <si>
    <t xml:space="preserve">قائمة فنيين (رول، كهربائية، سنتربوينت…)</t>
  </si>
  <si>
    <t xml:space="preserve">furniturekuwait.com</t>
  </si>
  <si>
    <t xml:space="preserve">صفحات مناطق متشابهة (النسيم/القصر/أمغرة/الصليبية)؛ تركيب ايكيا وسيدار</t>
  </si>
  <si>
    <t xml:space="preserve">najarq8.com</t>
  </si>
  <si>
    <t xml:space="preserve">موقع شركة</t>
  </si>
  <si>
    <t xml:space="preserve">نص عام</t>
  </si>
  <si>
    <t xml:space="preserve">selakw.com</t>
  </si>
  <si>
    <t xml:space="preserve">«خبرة طويلة» و«طوال أيام الأسبوع» بلا إثبات</t>
  </si>
  <si>
    <t xml:space="preserve">otlobmehanykuwait.com</t>
  </si>
  <si>
    <t xml:space="preserve">دليل فنيين بخصم 20%</t>
  </si>
  <si>
    <t xml:space="preserve">لا يظهر؛ صفحة الجهراء الجديدة noindex عمداً حتى N-22</t>
  </si>
  <si>
    <t xml:space="preserve">ستائر رول / بلاك أوت / رول جاهز / تركيب ستائر / ستائر الكويت</t>
  </si>
  <si>
    <t xml:space="preserve">—</t>
  </si>
  <si>
    <t xml:space="preserve">غير مغطى</t>
  </si>
  <si>
    <t xml:space="preserve">نتائج غير كويتية أو غير ذات صلة في هذا التنفيذ؛ تُسجَّل يدوياً من جوال في الكويت</t>
  </si>
  <si>
    <t xml:space="preserve">ملف المنافسين (من مقتطفات البحث فقط — لا زحف ولا قياس سرعة)</t>
  </si>
  <si>
    <t xml:space="preserve">ما ظهر في المقتطفات</t>
  </si>
  <si>
    <t xml:space="preserve">الأسعار / الوحدة</t>
  </si>
  <si>
    <t xml:space="preserve">ملاحظة</t>
  </si>
  <si>
    <t xml:space="preserve">موقع بنطاق مطابق (متجر)</t>
  </si>
  <si>
    <t xml:space="preserve">أسعار على المنتجات (لينن 15–18، مخمل 20–25، خشب 15)، تخفيضات على السعر، وفق 3.3: 70+ رابطاً وصفحات مناطق متطابقة وخلط تنجيد وسيارات</t>
  </si>
  <si>
    <t xml:space="preserve">الوحدة غير مبيَّنة (طولي أم مربع)</t>
  </si>
  <si>
    <t xml:space="preserve">الأقوى حضوراً؛ تفوقه بالكثافة لا الجودة</t>
  </si>
  <si>
    <t xml:space="preserve">صفحة أسعار (ويفي 15، فندقي 13، رول 6، أمريكي 25، لينن من 13)، معاينة مجانية بالمنزل، FAQ schema، رقم هاتف في العناوين</t>
  </si>
  <si>
    <t xml:space="preserve">وحدة «المتر» غير مبيَّنة؛ صفحة الأسعار عمرها ~635 يوماً</t>
  </si>
  <si>
    <t xml:space="preserve">نمط الصفحة الواحدة لكل نوع ومنطقة؛ يدّعي «فندقي فاخر» و«أحدث الماكينات» بلا إثبات</t>
  </si>
  <si>
    <t xml:space="preserve">لم تُلاحظ أسعار</t>
  </si>
  <si>
    <t xml:space="preserve">تعتمد الخصم بدل الإثبات</t>
  </si>
  <si>
    <t xml:space="preserve">آراء عملاء، رابط انستغرام، جمل مكررة «بلا منافس»، نص قالب خاطئ (€70/night)</t>
  </si>
  <si>
    <t xml:space="preserve">نطاق عام فقط (5–100+)</t>
  </si>
  <si>
    <t xml:space="preserve">أخطاء قالب ظاهرة؛ أرقام هواتف في العناوين</t>
  </si>
  <si>
    <t xml:space="preserve">curtains-kw.com</t>
  </si>
  <si>
    <t xml:space="preserve">صفحات مناطق (حولي، الجهراء) بقالب موحد، «ارخص ستائر»، هاتف في العناوين</t>
  </si>
  <si>
    <t xml:space="preserve">نمط صفحات مناطق متشابهة</t>
  </si>
  <si>
    <t xml:space="preserve">أقسام تصليح وأفضل محلات ومعلم ستائر؛ هاتف في العنوان</t>
  </si>
  <si>
    <t xml:space="preserve">عنوان صفحة مكدّس بالعبارات</t>
  </si>
  <si>
    <t xml:space="preserve">خلط تنجيد وكنب وديوانيات مع الستائر؛ «بارخص الاسعار»</t>
  </si>
  <si>
    <t xml:space="preserve">محتوى عام</t>
  </si>
  <si>
    <t xml:space="preserve">q84sale.com / kw.opensooq.com</t>
  </si>
  <si>
    <t xml:space="preserve">إعلانات مبوبة</t>
  </si>
  <si>
    <t xml:space="preserve">إعلانات أفراد بأسعار 11–12 د.ك للمتر (ويفي/فندقي)</t>
  </si>
  <si>
    <t xml:space="preserve">وحدة غير متسقة داخل الإعلان نفسه</t>
  </si>
  <si>
    <t xml:space="preserve">تنافس بالسعر ولا تملك محتوى</t>
  </si>
  <si>
    <t xml:space="preserve">علامة كبرى</t>
  </si>
  <si>
    <t xml:space="preserve">ستائر جاهزة بأطقم، ليس تفصيلاً</t>
  </si>
  <si>
    <t xml:space="preserve">منافسة جزئية (جاهز)</t>
  </si>
  <si>
    <t xml:space="preserve">خط أساس الصفحة الرئيسية المنشورة (فُحصت 2 أكتوبر 2026)</t>
  </si>
  <si>
    <t xml:space="preserve">العنصر</t>
  </si>
  <si>
    <t xml:space="preserve">المنشور حالياً</t>
  </si>
  <si>
    <t xml:space="preserve">في الحزمة المسلَّمة</t>
  </si>
  <si>
    <t xml:space="preserve">المسارات</t>
  </si>
  <si>
    <t xml:space="preserve">عربية (/مناطق-الخدمة/ و/اسعار-الستائر/ و/الاسئلة-الشائعة/ و/اتصل-بنا/)</t>
  </si>
  <si>
    <t xml:space="preserve">الحزمة الحالية لاتينية (B0)</t>
  </si>
  <si>
    <t xml:space="preserve">عنوان الصفحة</t>
  </si>
  <si>
    <t xml:space="preserve">«عالم ستائر الكويت» فقط</t>
  </si>
  <si>
    <t xml:space="preserve">B3 أعاد كتابة العناوين والأوصاف</t>
  </si>
  <si>
    <t xml:space="preserve">الوصف</t>
  </si>
  <si>
    <t xml:space="preserve">يذكر الكهربائية و«بخامات تركية أصلية»</t>
  </si>
  <si>
    <t xml:space="preserve">أُزيلت «أصلية» والكهربائية (A7 وN-08)</t>
  </si>
  <si>
    <t xml:space="preserve">العنوان الرئيسي</t>
  </si>
  <si>
    <t xml:space="preserve">«حسب المقاس بالمليمتر»</t>
  </si>
  <si>
    <t xml:space="preserve">أُزيلت «بالمليمتر» (N-03)</t>
  </si>
  <si>
    <t xml:space="preserve">المنتجات</t>
  </si>
  <si>
    <t xml:space="preserve">6 د.ك للمتر لكل المنتجات حتى الخشبي، و«نماذج حقيقية من تنفيذاتنا»، و«تركية أصلية»</t>
  </si>
  <si>
    <t xml:space="preserve">الأسعار من pricing.ts بالمتر المربع، وصيغة «نموذج» لا «تنفيذ»</t>
  </si>
  <si>
    <t xml:space="preserve">الأنواع الظاهرة</t>
  </si>
  <si>
    <t xml:space="preserve">رول، ويفي، بلاك أوت، شيفون</t>
  </si>
  <si>
    <t xml:space="preserve">كل الأنواع عدا الكهربائية</t>
  </si>
  <si>
    <t xml:space="preserve">أعمالنا</t>
  </si>
  <si>
    <t xml:space="preserve">تشير إلى /blog/</t>
  </si>
  <si>
    <t xml:space="preserve">تشير الآن إلى /projects/ (P-WORKS)</t>
  </si>
  <si>
    <t xml:space="preserve">الخلاصة</t>
  </si>
  <si>
    <t xml:space="preserve">كل ما أُنجز في الحزمة غير منشور</t>
  </si>
  <si>
    <t xml:space="preserve">نشر الحزمة هو الإجراء الأول (N-28)</t>
  </si>
  <si>
    <t xml:space="preserve">Scorecard (الملحق ح) — 0 إلى 5 لكل محور؛ الخلايا الصفراء فارغة عمداً حتى يتوفر الدليل</t>
  </si>
  <si>
    <t xml:space="preserve">لا تُقدَّر درجة بلا دليل: وضوح الأسعار فقط مُقيَّم من الصفحات العامة؛ والبقية تحتاج PageSpeed وأداة روابط وزبوناً خفياً. «تقدير داخلي» = تقييم لما في الحزمة قبل النشر.</t>
  </si>
  <si>
    <t xml:space="preserve">المحور</t>
  </si>
  <si>
    <t xml:space="preserve">الوزن</t>
  </si>
  <si>
    <t xml:space="preserve">موقعنا المنشور حالياً</t>
  </si>
  <si>
    <t xml:space="preserve">موقعنا (الحزمة، تقدير داخلي)</t>
  </si>
  <si>
    <t xml:space="preserve">جودة المحتوى</t>
  </si>
  <si>
    <t xml:space="preserve">الفني والسرعة</t>
  </si>
  <si>
    <t xml:space="preserve">الروابط الخارجية</t>
  </si>
  <si>
    <t xml:space="preserve">وضوح الأسعار</t>
  </si>
  <si>
    <t xml:space="preserve">الثقة (ضمان/سياسات/أعمال)</t>
  </si>
  <si>
    <t xml:space="preserve">السوشيال والفيديو</t>
  </si>
  <si>
    <t xml:space="preserve">الاستجابة (واتساب)</t>
  </si>
  <si>
    <t xml:space="preserve">الدرجة من 5 (للمحاور المقيَّمة فقط)</t>
  </si>
  <si>
    <t xml:space="preserve">تغطية الأوزان المقيَّمة</t>
  </si>
  <si>
    <t xml:space="preserve">أساس درجات «وضوح الأسعار»: curtains-k.com وkuwaitcurtains.com 3 (أسعار ظاهرة لكن الوحدة غير مبيَّنة)؛ موقعنا المنشور 2 (سعر 6 موحّد لكل المنتجات وبلا جدول)؛ الحزمة 4 (جدول وحاسبة ووحدة المتر المربع وقاعدة التركيب، ولا مقارنة بالمتر الطولي).</t>
  </si>
  <si>
    <t xml:space="preserve">الزبون الخفي — رسالة واحدة موحدة لكل منافس (الملحق ح)</t>
  </si>
  <si>
    <t xml:space="preserve">الرسالة (غيّر [منطقة] فقط):</t>
  </si>
  <si>
    <t xml:space="preserve">السلام عليكم، أرغب بتفصيل ستائر ويفي لصالة في [منطقة]، 3 نوافذ تقريباً. كم السعر التقريبي ومدة التنفيذ؟ وهل القياس مجاني؟</t>
  </si>
  <si>
    <t xml:space="preserve">إرشادات: أرسلها من رقم لا يرتبط بالنشاط وفي ساعات العمل، ولا تُكمل المحادثة بعد جمع البيانات، ولا تدخل أرقام الهواتف هنا (يكفي اسم النطاق).</t>
  </si>
  <si>
    <t xml:space="preserve">المنافس (النطاق)</t>
  </si>
  <si>
    <t xml:space="preserve">تاريخ الإرسال</t>
  </si>
  <si>
    <t xml:space="preserve">زمن أول رد (دقائق)</t>
  </si>
  <si>
    <t xml:space="preserve">طلب صوراً ومقاسات؟</t>
  </si>
  <si>
    <t xml:space="preserve">أعطى سعراً مبدئياً؟</t>
  </si>
  <si>
    <t xml:space="preserve">السعر ووحدته</t>
  </si>
  <si>
    <t xml:space="preserve">ما يشمله السعر</t>
  </si>
  <si>
    <t xml:space="preserve">مدة التنفيذ</t>
  </si>
  <si>
    <t xml:space="preserve">الضمان</t>
  </si>
  <si>
    <t xml:space="preserve">أسلوب المتابعة</t>
  </si>
  <si>
    <t xml:space="preserve">انطباع الاحترافية (0–5)</t>
  </si>
  <si>
    <t xml:space="preserve">حدود هذا المسح وما يلزم لاستكماله</t>
  </si>
  <si>
    <t xml:space="preserve">الحد</t>
  </si>
  <si>
    <t xml:space="preserve">التفصيل</t>
  </si>
  <si>
    <t xml:space="preserve">أداة البحث ليست google.com.kw</t>
  </si>
  <si>
    <t xml:space="preserve">الترتيب مؤشر فقط؛ يلزم تأكيد يدوي من جوال داخل الكويت بتصفح خاص.</t>
  </si>
  <si>
    <t xml:space="preserve">عبارات غير مغطاة</t>
  </si>
  <si>
    <t xml:space="preserve">رول، بلاك أوت، رول جاهز، تركيب ستائر، ستائر الكويت، والإنجليزية (curtains kuwait…): لم تُسجَّل.</t>
  </si>
  <si>
    <t xml:space="preserve">لا قياس تقني</t>
  </si>
  <si>
    <t xml:space="preserve">لا PageSpeed ولا عدد صفحات فعلي ولا schema مفحوص؛ المعلومات من مقتطفات البحث فقط.</t>
  </si>
  <si>
    <t xml:space="preserve">لا روابط ولا عمر نطاق</t>
  </si>
  <si>
    <t xml:space="preserve">لا Ahrefs/Semrush/Wayback متاحة في بيئة التنفيذ؛ ولا مقارنة للروابط الخارجية بعد.</t>
  </si>
  <si>
    <t xml:space="preserve">لا زبون خفي</t>
  </si>
  <si>
    <t xml:space="preserve">يتطلب إرسال رسائل واتساب من المالك (ورقة «الزبون_الخفي» جاهزة).</t>
  </si>
  <si>
    <t xml:space="preserve">لا سوشيال ولا إعلانات</t>
  </si>
  <si>
    <t xml:space="preserve">لم تُفحص حسابات انستغرام/تيك توك ولا مكتبة إعلانات Meta.</t>
  </si>
  <si>
    <t xml:space="preserve">عمر الصفحات</t>
  </si>
  <si>
    <t xml:space="preserve">الأرقام كما أرجعتها أداة البحث (تقريبية) وليست تاريخ نشر مؤكداً.</t>
  </si>
  <si>
    <t xml:space="preserve">خصوصية</t>
  </si>
  <si>
    <t xml:space="preserve">لم تُدرج أرقام هواتف المنافسين؛ ظهورها في عناوينهم مُسجَّل كنمط فقط.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</si>
</sst>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2F2F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34"/>
  </cols>
  <sheetData>
    <row r="1" customFormat="false" ht="17.1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87.75" hidden="false" customHeight="tru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87.75" hidden="false" customHeight="true" outlineLevel="0" collapsed="false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customFormat="false" ht="87.75" hidden="false" customHeight="true" outlineLevel="0" collapsed="false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</row>
    <row r="8" customFormat="false" ht="87.75" hidden="false" customHeight="true" outlineLevel="0" collapsed="false">
      <c r="A8" s="4" t="s">
        <v>22</v>
      </c>
      <c r="B8" s="4" t="s">
        <v>23</v>
      </c>
      <c r="C8" s="4" t="s">
        <v>19</v>
      </c>
      <c r="D8" s="4" t="s">
        <v>24</v>
      </c>
      <c r="E8" s="4" t="s">
        <v>25</v>
      </c>
    </row>
    <row r="9" customFormat="false" ht="87.75" hidden="false" customHeight="true" outlineLevel="0" collapsed="false">
      <c r="A9" s="4" t="s">
        <v>26</v>
      </c>
      <c r="B9" s="4" t="s">
        <v>27</v>
      </c>
      <c r="C9" s="4" t="s">
        <v>14</v>
      </c>
      <c r="D9" s="4" t="s">
        <v>28</v>
      </c>
      <c r="E9" s="4" t="s">
        <v>25</v>
      </c>
    </row>
    <row r="10" customFormat="false" ht="87.75" hidden="false" customHeight="true" outlineLevel="0" collapsed="false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</row>
    <row r="11" customFormat="false" ht="87.75" hidden="false" customHeight="true" outlineLevel="0" collapsed="false">
      <c r="A11" s="4" t="s">
        <v>34</v>
      </c>
      <c r="B11" s="4" t="s">
        <v>35</v>
      </c>
      <c r="C11" s="4" t="s">
        <v>36</v>
      </c>
      <c r="D11" s="4" t="s">
        <v>37</v>
      </c>
      <c r="E11" s="4" t="s">
        <v>33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70"/>
    <col collapsed="false" customWidth="true" hidden="false" outlineLevel="0" max="6" min="6" style="0" width="18"/>
  </cols>
  <sheetData>
    <row r="1" customFormat="false" ht="17.15" hidden="false" customHeight="false" outlineLevel="0" collapsed="false">
      <c r="A1" s="1" t="s">
        <v>38</v>
      </c>
    </row>
    <row r="3" customFormat="false" ht="23.85" hidden="false" customHeight="false" outlineLevel="0" collapsed="false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</row>
    <row r="4" customFormat="false" ht="15" hidden="false" customHeight="false" outlineLevel="0" collapsed="false">
      <c r="A4" s="4" t="s">
        <v>45</v>
      </c>
      <c r="B4" s="4" t="n">
        <v>1</v>
      </c>
      <c r="C4" s="4" t="s">
        <v>46</v>
      </c>
      <c r="D4" s="4" t="s">
        <v>47</v>
      </c>
      <c r="E4" s="4" t="s">
        <v>48</v>
      </c>
      <c r="F4" s="4" t="n">
        <v>266</v>
      </c>
    </row>
    <row r="5" customFormat="false" ht="15" hidden="false" customHeight="false" outlineLevel="0" collapsed="false">
      <c r="A5" s="4" t="s">
        <v>45</v>
      </c>
      <c r="B5" s="4" t="n">
        <v>2</v>
      </c>
      <c r="C5" s="4" t="s">
        <v>49</v>
      </c>
      <c r="D5" s="4" t="s">
        <v>47</v>
      </c>
      <c r="E5" s="4" t="s">
        <v>50</v>
      </c>
      <c r="F5" s="4"/>
    </row>
    <row r="6" customFormat="false" ht="15" hidden="false" customHeight="false" outlineLevel="0" collapsed="false">
      <c r="A6" s="4" t="s">
        <v>45</v>
      </c>
      <c r="B6" s="4" t="n">
        <v>3</v>
      </c>
      <c r="C6" s="4" t="s">
        <v>51</v>
      </c>
      <c r="D6" s="4" t="s">
        <v>47</v>
      </c>
      <c r="E6" s="4" t="s">
        <v>52</v>
      </c>
      <c r="F6" s="4"/>
    </row>
    <row r="7" customFormat="false" ht="15" hidden="false" customHeight="false" outlineLevel="0" collapsed="false">
      <c r="A7" s="4" t="s">
        <v>45</v>
      </c>
      <c r="B7" s="4" t="n">
        <v>4</v>
      </c>
      <c r="C7" s="4" t="s">
        <v>53</v>
      </c>
      <c r="D7" s="4" t="s">
        <v>47</v>
      </c>
      <c r="E7" s="4" t="s">
        <v>54</v>
      </c>
      <c r="F7" s="4" t="n">
        <v>635</v>
      </c>
    </row>
    <row r="8" customFormat="false" ht="15" hidden="false" customHeight="false" outlineLevel="0" collapsed="false">
      <c r="A8" s="4" t="s">
        <v>45</v>
      </c>
      <c r="B8" s="4" t="n">
        <v>5</v>
      </c>
      <c r="C8" s="4" t="s">
        <v>55</v>
      </c>
      <c r="D8" s="4" t="s">
        <v>47</v>
      </c>
      <c r="E8" s="4" t="s">
        <v>56</v>
      </c>
      <c r="F8" s="4" t="n">
        <v>647</v>
      </c>
    </row>
    <row r="9" customFormat="false" ht="15" hidden="false" customHeight="false" outlineLevel="0" collapsed="false">
      <c r="A9" s="4" t="s">
        <v>45</v>
      </c>
      <c r="B9" s="4" t="n">
        <v>6</v>
      </c>
      <c r="C9" s="4" t="s">
        <v>57</v>
      </c>
      <c r="D9" s="4" t="s">
        <v>47</v>
      </c>
      <c r="E9" s="4" t="s">
        <v>58</v>
      </c>
      <c r="F9" s="4"/>
    </row>
    <row r="10" customFormat="false" ht="15" hidden="false" customHeight="false" outlineLevel="0" collapsed="false">
      <c r="A10" s="4" t="s">
        <v>45</v>
      </c>
      <c r="B10" s="4" t="n">
        <v>7</v>
      </c>
      <c r="C10" s="4" t="s">
        <v>59</v>
      </c>
      <c r="D10" s="4" t="s">
        <v>47</v>
      </c>
      <c r="E10" s="4" t="s">
        <v>60</v>
      </c>
      <c r="F10" s="4" t="n">
        <v>438</v>
      </c>
    </row>
    <row r="11" customFormat="false" ht="15" hidden="false" customHeight="false" outlineLevel="0" collapsed="false">
      <c r="A11" s="4" t="s">
        <v>45</v>
      </c>
      <c r="B11" s="4"/>
      <c r="C11" s="4" t="s">
        <v>61</v>
      </c>
      <c r="D11" s="4" t="s">
        <v>62</v>
      </c>
      <c r="E11" s="4" t="s">
        <v>63</v>
      </c>
      <c r="F11" s="4" t="s">
        <v>64</v>
      </c>
    </row>
    <row r="12" customFormat="false" ht="15" hidden="false" customHeight="false" outlineLevel="0" collapsed="false">
      <c r="A12" s="4" t="s">
        <v>65</v>
      </c>
      <c r="B12" s="4" t="n">
        <v>1</v>
      </c>
      <c r="C12" s="4" t="s">
        <v>66</v>
      </c>
      <c r="D12" s="4" t="s">
        <v>67</v>
      </c>
      <c r="E12" s="4" t="s">
        <v>68</v>
      </c>
      <c r="F12" s="4"/>
    </row>
    <row r="13" customFormat="false" ht="15" hidden="false" customHeight="false" outlineLevel="0" collapsed="false">
      <c r="A13" s="4" t="s">
        <v>65</v>
      </c>
      <c r="B13" s="4" t="n">
        <v>2</v>
      </c>
      <c r="C13" s="4" t="s">
        <v>69</v>
      </c>
      <c r="D13" s="4" t="s">
        <v>67</v>
      </c>
      <c r="E13" s="4" t="s">
        <v>70</v>
      </c>
      <c r="F13" s="4"/>
    </row>
    <row r="14" customFormat="false" ht="15" hidden="false" customHeight="false" outlineLevel="0" collapsed="false">
      <c r="A14" s="4" t="s">
        <v>65</v>
      </c>
      <c r="B14" s="4" t="n">
        <v>3</v>
      </c>
      <c r="C14" s="4" t="s">
        <v>61</v>
      </c>
      <c r="D14" s="4" t="s">
        <v>71</v>
      </c>
      <c r="E14" s="4" t="s">
        <v>72</v>
      </c>
      <c r="F14" s="4"/>
    </row>
    <row r="15" customFormat="false" ht="15" hidden="false" customHeight="false" outlineLevel="0" collapsed="false">
      <c r="A15" s="4" t="s">
        <v>65</v>
      </c>
      <c r="B15" s="4" t="n">
        <v>4</v>
      </c>
      <c r="C15" s="4" t="s">
        <v>51</v>
      </c>
      <c r="D15" s="4" t="s">
        <v>47</v>
      </c>
      <c r="E15" s="4" t="s">
        <v>73</v>
      </c>
      <c r="F15" s="4"/>
    </row>
    <row r="16" customFormat="false" ht="15" hidden="false" customHeight="false" outlineLevel="0" collapsed="false">
      <c r="A16" s="4" t="s">
        <v>65</v>
      </c>
      <c r="B16" s="4" t="n">
        <v>5</v>
      </c>
      <c r="C16" s="4" t="s">
        <v>74</v>
      </c>
      <c r="D16" s="4" t="s">
        <v>47</v>
      </c>
      <c r="E16" s="4" t="s">
        <v>75</v>
      </c>
      <c r="F16" s="4" t="n">
        <v>463</v>
      </c>
    </row>
    <row r="17" customFormat="false" ht="15" hidden="false" customHeight="false" outlineLevel="0" collapsed="false">
      <c r="A17" s="4" t="s">
        <v>65</v>
      </c>
      <c r="B17" s="4" t="n">
        <v>6</v>
      </c>
      <c r="C17" s="4" t="s">
        <v>53</v>
      </c>
      <c r="D17" s="4" t="s">
        <v>47</v>
      </c>
      <c r="E17" s="4" t="s">
        <v>76</v>
      </c>
      <c r="F17" s="4" t="n">
        <v>635</v>
      </c>
    </row>
    <row r="18" customFormat="false" ht="15" hidden="false" customHeight="false" outlineLevel="0" collapsed="false">
      <c r="A18" s="4" t="s">
        <v>65</v>
      </c>
      <c r="B18" s="4" t="n">
        <v>7</v>
      </c>
      <c r="C18" s="4" t="s">
        <v>77</v>
      </c>
      <c r="D18" s="4" t="s">
        <v>47</v>
      </c>
      <c r="E18" s="4" t="s">
        <v>78</v>
      </c>
      <c r="F18" s="4"/>
    </row>
    <row r="19" customFormat="false" ht="15" hidden="false" customHeight="false" outlineLevel="0" collapsed="false">
      <c r="A19" s="4" t="s">
        <v>79</v>
      </c>
      <c r="B19" s="4" t="n">
        <v>1</v>
      </c>
      <c r="C19" s="4" t="s">
        <v>80</v>
      </c>
      <c r="D19" s="4" t="s">
        <v>81</v>
      </c>
      <c r="E19" s="4" t="s">
        <v>82</v>
      </c>
      <c r="F19" s="4"/>
    </row>
    <row r="20" customFormat="false" ht="15" hidden="false" customHeight="false" outlineLevel="0" collapsed="false">
      <c r="A20" s="4" t="s">
        <v>79</v>
      </c>
      <c r="B20" s="4" t="n">
        <v>2</v>
      </c>
      <c r="C20" s="4" t="s">
        <v>61</v>
      </c>
      <c r="D20" s="4" t="s">
        <v>71</v>
      </c>
      <c r="E20" s="4" t="s">
        <v>83</v>
      </c>
      <c r="F20" s="4"/>
    </row>
    <row r="21" customFormat="false" ht="15" hidden="false" customHeight="false" outlineLevel="0" collapsed="false">
      <c r="A21" s="4" t="s">
        <v>79</v>
      </c>
      <c r="B21" s="4" t="n">
        <v>3</v>
      </c>
      <c r="C21" s="4" t="s">
        <v>84</v>
      </c>
      <c r="D21" s="4" t="s">
        <v>47</v>
      </c>
      <c r="E21" s="4" t="s">
        <v>85</v>
      </c>
      <c r="F21" s="4" t="n">
        <v>166</v>
      </c>
    </row>
    <row r="22" customFormat="false" ht="15" hidden="false" customHeight="false" outlineLevel="0" collapsed="false">
      <c r="A22" s="4" t="s">
        <v>79</v>
      </c>
      <c r="B22" s="4" t="n">
        <v>4</v>
      </c>
      <c r="C22" s="4" t="s">
        <v>86</v>
      </c>
      <c r="D22" s="4" t="s">
        <v>47</v>
      </c>
      <c r="E22" s="4" t="s">
        <v>87</v>
      </c>
      <c r="F22" s="4" t="n">
        <v>463</v>
      </c>
    </row>
    <row r="23" customFormat="false" ht="15" hidden="false" customHeight="false" outlineLevel="0" collapsed="false">
      <c r="A23" s="4" t="s">
        <v>79</v>
      </c>
      <c r="B23" s="4" t="n">
        <v>5</v>
      </c>
      <c r="C23" s="4" t="s">
        <v>88</v>
      </c>
      <c r="D23" s="4" t="s">
        <v>47</v>
      </c>
      <c r="E23" s="4" t="s">
        <v>89</v>
      </c>
      <c r="F23" s="4" t="n">
        <v>329</v>
      </c>
    </row>
    <row r="24" customFormat="false" ht="15" hidden="false" customHeight="false" outlineLevel="0" collapsed="false">
      <c r="A24" s="4" t="s">
        <v>79</v>
      </c>
      <c r="B24" s="4" t="n">
        <v>6</v>
      </c>
      <c r="C24" s="4" t="s">
        <v>90</v>
      </c>
      <c r="D24" s="4" t="s">
        <v>91</v>
      </c>
      <c r="E24" s="4" t="s">
        <v>92</v>
      </c>
      <c r="F24" s="4" t="n">
        <v>80</v>
      </c>
    </row>
    <row r="25" customFormat="false" ht="15" hidden="false" customHeight="false" outlineLevel="0" collapsed="false">
      <c r="A25" s="4" t="s">
        <v>79</v>
      </c>
      <c r="B25" s="4" t="n">
        <v>7</v>
      </c>
      <c r="C25" s="4" t="s">
        <v>93</v>
      </c>
      <c r="D25" s="4" t="s">
        <v>94</v>
      </c>
      <c r="E25" s="4" t="s">
        <v>95</v>
      </c>
      <c r="F25" s="4" t="n">
        <v>196</v>
      </c>
    </row>
    <row r="26" customFormat="false" ht="15" hidden="false" customHeight="false" outlineLevel="0" collapsed="false">
      <c r="A26" s="4" t="s">
        <v>96</v>
      </c>
      <c r="B26" s="4" t="n">
        <v>1</v>
      </c>
      <c r="C26" s="4" t="s">
        <v>97</v>
      </c>
      <c r="D26" s="4" t="s">
        <v>67</v>
      </c>
      <c r="E26" s="4" t="s">
        <v>98</v>
      </c>
      <c r="F26" s="4" t="n">
        <v>1143</v>
      </c>
    </row>
    <row r="27" customFormat="false" ht="15" hidden="false" customHeight="false" outlineLevel="0" collapsed="false">
      <c r="A27" s="4" t="s">
        <v>96</v>
      </c>
      <c r="B27" s="4" t="n">
        <v>2</v>
      </c>
      <c r="C27" s="4" t="s">
        <v>99</v>
      </c>
      <c r="D27" s="4" t="s">
        <v>100</v>
      </c>
      <c r="E27" s="4" t="s">
        <v>101</v>
      </c>
      <c r="F27" s="4" t="n">
        <v>654</v>
      </c>
    </row>
    <row r="28" customFormat="false" ht="15" hidden="false" customHeight="false" outlineLevel="0" collapsed="false">
      <c r="A28" s="4" t="s">
        <v>96</v>
      </c>
      <c r="B28" s="4" t="n">
        <v>3</v>
      </c>
      <c r="C28" s="4" t="s">
        <v>102</v>
      </c>
      <c r="D28" s="4" t="s">
        <v>67</v>
      </c>
      <c r="E28" s="4" t="s">
        <v>103</v>
      </c>
      <c r="F28" s="4" t="n">
        <v>1143</v>
      </c>
    </row>
    <row r="29" customFormat="false" ht="15" hidden="false" customHeight="false" outlineLevel="0" collapsed="false">
      <c r="A29" s="4" t="s">
        <v>96</v>
      </c>
      <c r="B29" s="4" t="n">
        <v>4</v>
      </c>
      <c r="C29" s="4" t="s">
        <v>104</v>
      </c>
      <c r="D29" s="4" t="s">
        <v>105</v>
      </c>
      <c r="E29" s="4" t="s">
        <v>106</v>
      </c>
      <c r="F29" s="4" t="n">
        <v>1025</v>
      </c>
    </row>
    <row r="30" customFormat="false" ht="15" hidden="false" customHeight="false" outlineLevel="0" collapsed="false">
      <c r="A30" s="4" t="s">
        <v>96</v>
      </c>
      <c r="B30" s="4" t="n">
        <v>5</v>
      </c>
      <c r="C30" s="4" t="s">
        <v>107</v>
      </c>
      <c r="D30" s="4" t="s">
        <v>47</v>
      </c>
      <c r="E30" s="4" t="s">
        <v>108</v>
      </c>
      <c r="F30" s="4" t="n">
        <v>1713</v>
      </c>
    </row>
    <row r="31" customFormat="false" ht="15" hidden="false" customHeight="false" outlineLevel="0" collapsed="false">
      <c r="A31" s="4" t="s">
        <v>96</v>
      </c>
      <c r="B31" s="4" t="n">
        <v>6</v>
      </c>
      <c r="C31" s="4" t="s">
        <v>109</v>
      </c>
      <c r="D31" s="4" t="s">
        <v>110</v>
      </c>
      <c r="E31" s="4" t="s">
        <v>111</v>
      </c>
      <c r="F31" s="4" t="n">
        <v>813</v>
      </c>
    </row>
    <row r="32" customFormat="false" ht="15" hidden="false" customHeight="false" outlineLevel="0" collapsed="false">
      <c r="A32" s="4" t="s">
        <v>96</v>
      </c>
      <c r="B32" s="4" t="n">
        <v>7</v>
      </c>
      <c r="C32" s="4" t="s">
        <v>112</v>
      </c>
      <c r="D32" s="4" t="s">
        <v>100</v>
      </c>
      <c r="E32" s="4" t="s">
        <v>113</v>
      </c>
      <c r="F32" s="4" t="n">
        <v>374</v>
      </c>
    </row>
    <row r="33" customFormat="false" ht="15" hidden="false" customHeight="false" outlineLevel="0" collapsed="false">
      <c r="A33" s="4" t="s">
        <v>96</v>
      </c>
      <c r="B33" s="4" t="n">
        <v>8</v>
      </c>
      <c r="C33" s="4" t="s">
        <v>114</v>
      </c>
      <c r="D33" s="4" t="s">
        <v>105</v>
      </c>
      <c r="E33" s="4" t="s">
        <v>115</v>
      </c>
      <c r="F33" s="4" t="n">
        <v>697</v>
      </c>
    </row>
    <row r="34" customFormat="false" ht="15" hidden="false" customHeight="false" outlineLevel="0" collapsed="false">
      <c r="A34" s="4" t="s">
        <v>96</v>
      </c>
      <c r="B34" s="4"/>
      <c r="C34" s="4" t="s">
        <v>61</v>
      </c>
      <c r="D34" s="4" t="s">
        <v>62</v>
      </c>
      <c r="E34" s="4" t="s">
        <v>116</v>
      </c>
      <c r="F34" s="4" t="s">
        <v>64</v>
      </c>
    </row>
    <row r="35" customFormat="false" ht="23.85" hidden="false" customHeight="false" outlineLevel="0" collapsed="false">
      <c r="A35" s="4" t="s">
        <v>117</v>
      </c>
      <c r="B35" s="4"/>
      <c r="C35" s="4" t="s">
        <v>118</v>
      </c>
      <c r="D35" s="4" t="s">
        <v>119</v>
      </c>
      <c r="E35" s="4" t="s">
        <v>120</v>
      </c>
      <c r="F3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32"/>
    <col collapsed="false" customWidth="true" hidden="false" outlineLevel="0" max="5" min="5" style="0" width="40"/>
  </cols>
  <sheetData>
    <row r="1" customFormat="false" ht="17.15" hidden="false" customHeight="false" outlineLevel="0" collapsed="false">
      <c r="A1" s="1" t="s">
        <v>121</v>
      </c>
    </row>
    <row r="3" customFormat="false" ht="15" hidden="false" customHeight="false" outlineLevel="0" collapsed="false">
      <c r="A3" s="3" t="s">
        <v>41</v>
      </c>
      <c r="B3" s="3" t="s">
        <v>4</v>
      </c>
      <c r="C3" s="3" t="s">
        <v>122</v>
      </c>
      <c r="D3" s="3" t="s">
        <v>123</v>
      </c>
      <c r="E3" s="3" t="s">
        <v>124</v>
      </c>
    </row>
    <row r="4" customFormat="false" ht="23.85" hidden="false" customHeight="false" outlineLevel="0" collapsed="false">
      <c r="A4" s="4" t="s">
        <v>51</v>
      </c>
      <c r="B4" s="4" t="s">
        <v>125</v>
      </c>
      <c r="C4" s="4" t="s">
        <v>126</v>
      </c>
      <c r="D4" s="4" t="s">
        <v>127</v>
      </c>
      <c r="E4" s="4" t="s">
        <v>128</v>
      </c>
    </row>
    <row r="5" customFormat="false" ht="23.85" hidden="false" customHeight="false" outlineLevel="0" collapsed="false">
      <c r="A5" s="4" t="s">
        <v>84</v>
      </c>
      <c r="B5" s="4" t="s">
        <v>47</v>
      </c>
      <c r="C5" s="4" t="s">
        <v>129</v>
      </c>
      <c r="D5" s="4" t="s">
        <v>130</v>
      </c>
      <c r="E5" s="4" t="s">
        <v>131</v>
      </c>
    </row>
    <row r="6" customFormat="false" ht="15" hidden="false" customHeight="false" outlineLevel="0" collapsed="false">
      <c r="A6" s="4" t="s">
        <v>57</v>
      </c>
      <c r="B6" s="4" t="s">
        <v>47</v>
      </c>
      <c r="C6" s="4" t="s">
        <v>58</v>
      </c>
      <c r="D6" s="4" t="s">
        <v>132</v>
      </c>
      <c r="E6" s="4" t="s">
        <v>133</v>
      </c>
    </row>
    <row r="7" customFormat="false" ht="15" hidden="false" customHeight="false" outlineLevel="0" collapsed="false">
      <c r="A7" s="4" t="s">
        <v>74</v>
      </c>
      <c r="B7" s="4" t="s">
        <v>47</v>
      </c>
      <c r="C7" s="4" t="s">
        <v>134</v>
      </c>
      <c r="D7" s="4" t="s">
        <v>135</v>
      </c>
      <c r="E7" s="4" t="s">
        <v>136</v>
      </c>
    </row>
    <row r="8" customFormat="false" ht="15" hidden="false" customHeight="false" outlineLevel="0" collapsed="false">
      <c r="A8" s="4" t="s">
        <v>137</v>
      </c>
      <c r="B8" s="4" t="s">
        <v>47</v>
      </c>
      <c r="C8" s="4" t="s">
        <v>138</v>
      </c>
      <c r="D8" s="4" t="s">
        <v>132</v>
      </c>
      <c r="E8" s="4" t="s">
        <v>139</v>
      </c>
    </row>
    <row r="9" customFormat="false" ht="15" hidden="false" customHeight="false" outlineLevel="0" collapsed="false">
      <c r="A9" s="4" t="s">
        <v>55</v>
      </c>
      <c r="B9" s="4" t="s">
        <v>47</v>
      </c>
      <c r="C9" s="4" t="s">
        <v>140</v>
      </c>
      <c r="D9" s="4" t="s">
        <v>132</v>
      </c>
      <c r="E9" s="4" t="s">
        <v>141</v>
      </c>
    </row>
    <row r="10" customFormat="false" ht="15" hidden="false" customHeight="false" outlineLevel="0" collapsed="false">
      <c r="A10" s="4" t="s">
        <v>46</v>
      </c>
      <c r="B10" s="4" t="s">
        <v>47</v>
      </c>
      <c r="C10" s="4" t="s">
        <v>142</v>
      </c>
      <c r="D10" s="4" t="s">
        <v>132</v>
      </c>
      <c r="E10" s="4" t="s">
        <v>143</v>
      </c>
    </row>
    <row r="11" customFormat="false" ht="15" hidden="false" customHeight="false" outlineLevel="0" collapsed="false">
      <c r="A11" s="4" t="s">
        <v>144</v>
      </c>
      <c r="B11" s="4" t="s">
        <v>145</v>
      </c>
      <c r="C11" s="4" t="s">
        <v>146</v>
      </c>
      <c r="D11" s="4" t="s">
        <v>147</v>
      </c>
      <c r="E11" s="4" t="s">
        <v>148</v>
      </c>
    </row>
    <row r="12" customFormat="false" ht="15" hidden="false" customHeight="false" outlineLevel="0" collapsed="false">
      <c r="A12" s="4" t="s">
        <v>80</v>
      </c>
      <c r="B12" s="4" t="s">
        <v>149</v>
      </c>
      <c r="C12" s="4" t="s">
        <v>150</v>
      </c>
      <c r="D12" s="4" t="s">
        <v>118</v>
      </c>
      <c r="E12" s="4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15" hidden="false" customHeight="false" outlineLevel="0" collapsed="false">
      <c r="A1" s="1" t="s">
        <v>152</v>
      </c>
    </row>
    <row r="3" customFormat="false" ht="15" hidden="false" customHeight="false" outlineLevel="0" collapsed="false">
      <c r="A3" s="3" t="s">
        <v>153</v>
      </c>
      <c r="B3" s="3" t="s">
        <v>154</v>
      </c>
      <c r="C3" s="3" t="s">
        <v>155</v>
      </c>
    </row>
    <row r="4" customFormat="false" ht="15" hidden="false" customHeight="false" outlineLevel="0" collapsed="false">
      <c r="A4" s="4" t="s">
        <v>156</v>
      </c>
      <c r="B4" s="4" t="s">
        <v>157</v>
      </c>
      <c r="C4" s="4" t="s">
        <v>158</v>
      </c>
    </row>
    <row r="5" customFormat="false" ht="15" hidden="false" customHeight="false" outlineLevel="0" collapsed="false">
      <c r="A5" s="4" t="s">
        <v>159</v>
      </c>
      <c r="B5" s="4" t="s">
        <v>160</v>
      </c>
      <c r="C5" s="4" t="s">
        <v>161</v>
      </c>
    </row>
    <row r="6" customFormat="false" ht="15" hidden="false" customHeight="false" outlineLevel="0" collapsed="false">
      <c r="A6" s="4" t="s">
        <v>162</v>
      </c>
      <c r="B6" s="4" t="s">
        <v>163</v>
      </c>
      <c r="C6" s="4" t="s">
        <v>164</v>
      </c>
    </row>
    <row r="7" customFormat="false" ht="15" hidden="false" customHeight="false" outlineLevel="0" collapsed="false">
      <c r="A7" s="4" t="s">
        <v>165</v>
      </c>
      <c r="B7" s="4" t="s">
        <v>166</v>
      </c>
      <c r="C7" s="4" t="s">
        <v>167</v>
      </c>
    </row>
    <row r="8" customFormat="false" ht="15" hidden="false" customHeight="false" outlineLevel="0" collapsed="false">
      <c r="A8" s="4" t="s">
        <v>168</v>
      </c>
      <c r="B8" s="4" t="s">
        <v>169</v>
      </c>
      <c r="C8" s="4" t="s">
        <v>170</v>
      </c>
    </row>
    <row r="9" customFormat="false" ht="15" hidden="false" customHeight="false" outlineLevel="0" collapsed="false">
      <c r="A9" s="4" t="s">
        <v>171</v>
      </c>
      <c r="B9" s="4" t="s">
        <v>172</v>
      </c>
      <c r="C9" s="4" t="s">
        <v>173</v>
      </c>
    </row>
    <row r="10" customFormat="false" ht="15" hidden="false" customHeight="false" outlineLevel="0" collapsed="false">
      <c r="A10" s="4" t="s">
        <v>174</v>
      </c>
      <c r="B10" s="4" t="s">
        <v>175</v>
      </c>
      <c r="C10" s="4" t="s">
        <v>176</v>
      </c>
    </row>
    <row r="11" customFormat="false" ht="15" hidden="false" customHeight="false" outlineLevel="0" collapsed="false">
      <c r="A11" s="4" t="s">
        <v>177</v>
      </c>
      <c r="B11" s="4" t="s">
        <v>178</v>
      </c>
      <c r="C11" s="4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8" min="3" style="0" width="20"/>
  </cols>
  <sheetData>
    <row r="1" customFormat="false" ht="17.15" hidden="false" customHeight="false" outlineLevel="0" collapsed="false">
      <c r="A1" s="1" t="s">
        <v>180</v>
      </c>
    </row>
    <row r="2" customFormat="false" ht="11.9" hidden="false" customHeight="false" outlineLevel="0" collapsed="false">
      <c r="A2" s="5" t="s">
        <v>181</v>
      </c>
      <c r="B2" s="5"/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A4" s="3" t="s">
        <v>182</v>
      </c>
      <c r="B4" s="3" t="s">
        <v>183</v>
      </c>
      <c r="C4" s="3" t="s">
        <v>51</v>
      </c>
      <c r="D4" s="3" t="s">
        <v>84</v>
      </c>
      <c r="E4" s="3" t="s">
        <v>57</v>
      </c>
      <c r="F4" s="3" t="s">
        <v>74</v>
      </c>
      <c r="G4" s="3" t="s">
        <v>184</v>
      </c>
      <c r="H4" s="3" t="s">
        <v>185</v>
      </c>
    </row>
    <row r="5" customFormat="false" ht="15" hidden="false" customHeight="false" outlineLevel="0" collapsed="false">
      <c r="A5" s="6" t="s">
        <v>186</v>
      </c>
      <c r="B5" s="7" t="n">
        <v>3</v>
      </c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6" t="s">
        <v>187</v>
      </c>
      <c r="B6" s="7" t="n">
        <v>2</v>
      </c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6" t="s">
        <v>188</v>
      </c>
      <c r="B7" s="7" t="n">
        <v>3</v>
      </c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6" t="s">
        <v>189</v>
      </c>
      <c r="B8" s="7" t="n">
        <v>2</v>
      </c>
      <c r="C8" s="9" t="n">
        <v>3</v>
      </c>
      <c r="D8" s="9" t="n">
        <v>3</v>
      </c>
      <c r="E8" s="8"/>
      <c r="F8" s="8"/>
      <c r="G8" s="9" t="n">
        <v>2</v>
      </c>
      <c r="H8" s="9" t="n">
        <v>4</v>
      </c>
    </row>
    <row r="9" customFormat="false" ht="15" hidden="false" customHeight="false" outlineLevel="0" collapsed="false">
      <c r="A9" s="6" t="s">
        <v>190</v>
      </c>
      <c r="B9" s="7" t="n">
        <v>2</v>
      </c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6" t="s">
        <v>191</v>
      </c>
      <c r="B10" s="7" t="n">
        <v>1</v>
      </c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6" t="s">
        <v>192</v>
      </c>
      <c r="B11" s="7" t="n">
        <v>3</v>
      </c>
      <c r="C11" s="8"/>
      <c r="D11" s="8"/>
      <c r="E11" s="8"/>
      <c r="F11" s="8"/>
      <c r="G11" s="8"/>
      <c r="H11" s="8"/>
    </row>
    <row r="13" customFormat="false" ht="15" hidden="false" customHeight="false" outlineLevel="0" collapsed="false">
      <c r="A13" s="10" t="s">
        <v>193</v>
      </c>
      <c r="C13" s="11" t="n">
        <f aca="false">IFERROR(SUMPRODUCT($B$5:$B$11,C5:C11)/SUMPRODUCT($B$5:$B$11,--(C5:C11&lt;&gt;"")),"")</f>
        <v>3</v>
      </c>
      <c r="D13" s="11" t="n">
        <f aca="false">IFERROR(SUMPRODUCT($B$5:$B$11,D5:D11)/SUMPRODUCT($B$5:$B$11,--(D5:D11&lt;&gt;"")),"")</f>
        <v>3</v>
      </c>
      <c r="E13" s="11" t="str">
        <f aca="false">IFERROR(SUMPRODUCT($B$5:$B$11,E5:E11)/SUMPRODUCT($B$5:$B$11,--(E5:E11&lt;&gt;"")),"")</f>
        <v/>
      </c>
      <c r="F13" s="11" t="str">
        <f aca="false">IFERROR(SUMPRODUCT($B$5:$B$11,F5:F11)/SUMPRODUCT($B$5:$B$11,--(F5:F11&lt;&gt;"")),"")</f>
        <v/>
      </c>
      <c r="G13" s="11" t="n">
        <f aca="false">IFERROR(SUMPRODUCT($B$5:$B$11,G5:G11)/SUMPRODUCT($B$5:$B$11,--(G5:G11&lt;&gt;"")),"")</f>
        <v>2</v>
      </c>
      <c r="H13" s="11" t="n">
        <f aca="false">IFERROR(SUMPRODUCT($B$5:$B$11,H5:H11)/SUMPRODUCT($B$5:$B$11,--(H5:H11&lt;&gt;"")),"")</f>
        <v>4</v>
      </c>
    </row>
    <row r="14" customFormat="false" ht="15" hidden="false" customHeight="false" outlineLevel="0" collapsed="false">
      <c r="A14" s="10" t="s">
        <v>194</v>
      </c>
      <c r="C14" s="12" t="n">
        <f aca="false">SUMPRODUCT($B$5:$B$11,--(C5:C11&lt;&gt;""))/SUM($B$5:$B$11)</f>
        <v>0.125</v>
      </c>
      <c r="D14" s="12" t="n">
        <f aca="false">SUMPRODUCT($B$5:$B$11,--(D5:D11&lt;&gt;""))/SUM($B$5:$B$11)</f>
        <v>0.125</v>
      </c>
      <c r="E14" s="12" t="n">
        <f aca="false">SUMPRODUCT($B$5:$B$11,--(E5:E11&lt;&gt;""))/SUM($B$5:$B$11)</f>
        <v>0</v>
      </c>
      <c r="F14" s="12" t="n">
        <f aca="false">SUMPRODUCT($B$5:$B$11,--(F5:F11&lt;&gt;""))/SUM($B$5:$B$11)</f>
        <v>0</v>
      </c>
      <c r="G14" s="12" t="n">
        <f aca="false">SUMPRODUCT($B$5:$B$11,--(G5:G11&lt;&gt;""))/SUM($B$5:$B$11)</f>
        <v>0.125</v>
      </c>
      <c r="H14" s="12" t="n">
        <f aca="false">SUMPRODUCT($B$5:$B$11,--(H5:H11&lt;&gt;""))/SUM($B$5:$B$11)</f>
        <v>0.125</v>
      </c>
    </row>
    <row r="16" customFormat="false" ht="43.5" hidden="false" customHeight="true" outlineLevel="0" collapsed="false">
      <c r="A16" s="2" t="s">
        <v>195</v>
      </c>
      <c r="B16" s="2"/>
      <c r="C16" s="2"/>
      <c r="D16" s="2"/>
      <c r="E16" s="2"/>
      <c r="F16" s="2"/>
      <c r="G16" s="2"/>
      <c r="H16" s="2"/>
    </row>
  </sheetData>
  <mergeCells count="2">
    <mergeCell ref="A2:I2"/>
    <mergeCell ref="A16:H16"/>
  </mergeCells>
  <dataValidations count="1">
    <dataValidation allowBlank="true" error="أدخل عدداً صحيحاً من 0 إلى 5" errorStyle="stop" operator="between" showDropDown="false" showErrorMessage="true" showInputMessage="false" sqref="C5:H11" type="whole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9" min="8" style="0" width="16"/>
    <col collapsed="false" customWidth="true" hidden="false" outlineLevel="0" max="10" min="10" style="0" width="24"/>
    <col collapsed="false" customWidth="true" hidden="false" outlineLevel="0" max="11" min="11" style="0" width="16"/>
  </cols>
  <sheetData>
    <row r="1" customFormat="false" ht="17.15" hidden="false" customHeight="false" outlineLevel="0" collapsed="false">
      <c r="A1" s="1" t="s">
        <v>196</v>
      </c>
    </row>
    <row r="3" customFormat="false" ht="15" hidden="false" customHeight="false" outlineLevel="0" collapsed="false">
      <c r="A3" s="10" t="s">
        <v>197</v>
      </c>
    </row>
    <row r="4" customFormat="false" ht="30" hidden="false" customHeight="true" outlineLevel="0" collapsed="false">
      <c r="A4" s="13" t="s">
        <v>198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customFormat="false" ht="15" hidden="false" customHeight="false" outlineLevel="0" collapsed="false">
      <c r="A5" s="14" t="s">
        <v>199</v>
      </c>
    </row>
    <row r="7" customFormat="false" ht="15" hidden="false" customHeight="false" outlineLevel="0" collapsed="false">
      <c r="A7" s="3" t="s">
        <v>200</v>
      </c>
      <c r="B7" s="3" t="s">
        <v>201</v>
      </c>
      <c r="C7" s="3" t="s">
        <v>202</v>
      </c>
      <c r="D7" s="3" t="s">
        <v>203</v>
      </c>
      <c r="E7" s="3" t="s">
        <v>204</v>
      </c>
      <c r="F7" s="3" t="s">
        <v>205</v>
      </c>
      <c r="G7" s="3" t="s">
        <v>206</v>
      </c>
      <c r="H7" s="3" t="s">
        <v>207</v>
      </c>
      <c r="I7" s="3" t="s">
        <v>208</v>
      </c>
      <c r="J7" s="3" t="s">
        <v>209</v>
      </c>
      <c r="K7" s="3" t="s">
        <v>210</v>
      </c>
    </row>
    <row r="8" customFormat="false" ht="15" hidden="false" customHeight="false" outlineLevel="0" collapsed="false">
      <c r="A8" s="4" t="s">
        <v>51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5" hidden="false" customHeight="false" outlineLevel="0" collapsed="false">
      <c r="A9" s="4" t="s">
        <v>84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15" hidden="false" customHeight="false" outlineLevel="0" collapsed="false">
      <c r="A10" s="4" t="s">
        <v>57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customFormat="false" ht="15" hidden="false" customHeight="false" outlineLevel="0" collapsed="false">
      <c r="A11" s="4" t="s">
        <v>74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customFormat="false" ht="15" hidden="false" customHeight="false" outlineLevel="0" collapsed="false">
      <c r="A12" s="4" t="s">
        <v>137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customFormat="false" ht="15" hidden="false" customHeight="false" outlineLevel="0" collapsed="false">
      <c r="A13" s="4" t="s">
        <v>55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customFormat="false" ht="15" hidden="false" customHeight="false" outlineLevel="0" collapsed="false">
      <c r="A14" s="4" t="s">
        <v>46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customFormat="false" ht="15" hidden="false" customHeight="false" outlineLevel="0" collapsed="false">
      <c r="A15" s="4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customFormat="false" ht="15" hidden="false" customHeight="false" outlineLevel="0" collapsed="false">
      <c r="A16" s="4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customFormat="false" ht="15" hidden="false" customHeight="false" outlineLevel="0" collapsed="false">
      <c r="A17" s="4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customFormat="false" ht="15" hidden="false" customHeight="false" outlineLevel="0" collapsed="false">
      <c r="A18" s="4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customFormat="false" ht="15" hidden="false" customHeight="false" outlineLevel="0" collapsed="false">
      <c r="A19" s="4"/>
      <c r="B19" s="15"/>
      <c r="C19" s="15"/>
      <c r="D19" s="15"/>
      <c r="E19" s="15"/>
      <c r="F19" s="15"/>
      <c r="G19" s="15"/>
      <c r="H19" s="15"/>
      <c r="I19" s="15"/>
      <c r="J19" s="15"/>
      <c r="K19" s="15"/>
    </row>
  </sheetData>
  <mergeCells count="1">
    <mergeCell ref="A4:K4"/>
  </mergeCells>
  <dataValidations count="1">
    <dataValidation allowBlank="true" errorStyle="stop" operator="between" showDropDown="false" showErrorMessage="false" showInputMessage="false" sqref="D8:E19" type="list">
      <formula1>"نعم,لا"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211</v>
      </c>
    </row>
    <row r="3" customFormat="false" ht="15" hidden="false" customHeight="false" outlineLevel="0" collapsed="false">
      <c r="A3" s="3" t="s">
        <v>212</v>
      </c>
      <c r="B3" s="3" t="s">
        <v>213</v>
      </c>
    </row>
    <row r="4" customFormat="false" ht="15" hidden="false" customHeight="false" outlineLevel="0" collapsed="false">
      <c r="A4" s="4" t="s">
        <v>214</v>
      </c>
      <c r="B4" s="4" t="s">
        <v>215</v>
      </c>
    </row>
    <row r="5" customFormat="false" ht="15" hidden="false" customHeight="false" outlineLevel="0" collapsed="false">
      <c r="A5" s="4" t="s">
        <v>216</v>
      </c>
      <c r="B5" s="4" t="s">
        <v>217</v>
      </c>
    </row>
    <row r="6" customFormat="false" ht="15" hidden="false" customHeight="false" outlineLevel="0" collapsed="false">
      <c r="A6" s="4" t="s">
        <v>218</v>
      </c>
      <c r="B6" s="4" t="s">
        <v>219</v>
      </c>
    </row>
    <row r="7" customFormat="false" ht="15" hidden="false" customHeight="false" outlineLevel="0" collapsed="false">
      <c r="A7" s="4" t="s">
        <v>220</v>
      </c>
      <c r="B7" s="4" t="s">
        <v>221</v>
      </c>
    </row>
    <row r="8" customFormat="false" ht="15" hidden="false" customHeight="false" outlineLevel="0" collapsed="false">
      <c r="A8" s="4" t="s">
        <v>222</v>
      </c>
      <c r="B8" s="4" t="s">
        <v>223</v>
      </c>
    </row>
    <row r="9" customFormat="false" ht="15" hidden="false" customHeight="false" outlineLevel="0" collapsed="false">
      <c r="A9" s="4" t="s">
        <v>224</v>
      </c>
      <c r="B9" s="4" t="s">
        <v>225</v>
      </c>
    </row>
    <row r="10" customFormat="false" ht="15" hidden="false" customHeight="false" outlineLevel="0" collapsed="false">
      <c r="A10" s="4" t="s">
        <v>226</v>
      </c>
      <c r="B10" s="4" t="s">
        <v>227</v>
      </c>
    </row>
    <row r="11" customFormat="false" ht="15" hidden="false" customHeight="false" outlineLevel="0" collapsed="false">
      <c r="A11" s="4" t="s">
        <v>228</v>
      </c>
      <c r="B11" s="4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2026-10-01T21:19:10Z</dcterms:created>
  <dc:creator>openpyxl</dc:creator>
  <dc:description/>
  <dc:language>en-US</dc:language>
  <cp:lastModifiedBy/>
  <dcterms:modified xsi:type="dcterms:W3CDTF">2026-10-01T21:19:10Z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